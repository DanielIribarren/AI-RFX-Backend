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abracorpve-my.sharepoint.com/personal/zs_corpsabra_com/Documents/Documentos/"/>
    </mc:Choice>
  </mc:AlternateContent>
  <xr:revisionPtr revIDLastSave="0" documentId="8_{E0F892BD-1933-46E4-8BB2-ED86E779EBE5}" xr6:coauthVersionLast="47" xr6:coauthVersionMax="47" xr10:uidLastSave="{00000000-0000-0000-0000-000000000000}"/>
  <bookViews>
    <workbookView xWindow="-110" yWindow="-110" windowWidth="19420" windowHeight="11500" xr2:uid="{0B12CB14-0E3F-4A21-9349-B7D04938D592}"/>
  </bookViews>
  <sheets>
    <sheet name="APU_FORMATO" sheetId="1" r:id="rId1"/>
  </sheets>
  <definedNames>
    <definedName name="_xlnm.Print_Area" localSheetId="0">APU_FORMATO!$A$1:$G$58</definedName>
    <definedName name="equipos">#REF!</definedName>
    <definedName name="materiales">#REF!</definedName>
    <definedName name="materiales2">#REF!</definedName>
    <definedName name="MO">#REF!</definedName>
    <definedName name="numero">#REF!</definedName>
    <definedName name="z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" l="1"/>
  <c r="G49" i="1"/>
  <c r="G35" i="1"/>
  <c r="G30" i="1"/>
  <c r="G31" i="1"/>
  <c r="G41" i="1"/>
  <c r="G42" i="1"/>
  <c r="G43" i="1"/>
  <c r="G44" i="1"/>
  <c r="G45" i="1"/>
  <c r="G15" i="1"/>
  <c r="G16" i="1"/>
  <c r="G17" i="1"/>
  <c r="G18" i="1"/>
  <c r="G19" i="1"/>
  <c r="D47" i="1"/>
  <c r="G46" i="1"/>
  <c r="G40" i="1"/>
  <c r="G39" i="1"/>
  <c r="G38" i="1"/>
  <c r="G33" i="1"/>
  <c r="G32" i="1"/>
  <c r="G29" i="1"/>
  <c r="G28" i="1"/>
  <c r="G27" i="1"/>
  <c r="G26" i="1"/>
  <c r="G25" i="1"/>
  <c r="G20" i="1"/>
  <c r="G14" i="1"/>
  <c r="G13" i="1"/>
  <c r="G12" i="1"/>
  <c r="B53" i="1"/>
  <c r="B52" i="1" s="1"/>
  <c r="I26" i="1" l="1"/>
  <c r="G47" i="1"/>
  <c r="I28" i="1"/>
  <c r="I27" i="1"/>
  <c r="I14" i="1"/>
  <c r="I13" i="1"/>
  <c r="I15" i="1"/>
  <c r="I25" i="1"/>
  <c r="G34" i="1"/>
  <c r="I12" i="1"/>
  <c r="G21" i="1"/>
  <c r="G22" i="1" s="1"/>
  <c r="G50" i="1" l="1"/>
  <c r="G53" i="1" s="1"/>
  <c r="I21" i="1"/>
  <c r="G54" i="1" l="1"/>
  <c r="G55" i="1" s="1"/>
  <c r="G56" i="1" l="1"/>
  <c r="G57" i="1" s="1"/>
  <c r="G58" i="1" s="1"/>
</calcChain>
</file>

<file path=xl/sharedStrings.xml><?xml version="1.0" encoding="utf-8"?>
<sst xmlns="http://schemas.openxmlformats.org/spreadsheetml/2006/main" count="50" uniqueCount="40">
  <si>
    <t>Obra:</t>
  </si>
  <si>
    <t>SERVICIO DE IMPRESIONES Y COPIADOS DE PLANOS PARA LA GERENCIA DE GEOCIENCIAS</t>
  </si>
  <si>
    <t>Contratante:</t>
  </si>
  <si>
    <t>CHEVRON VENEZUELA</t>
  </si>
  <si>
    <t>ANALISIS DE PRECIOS UNITARIOS</t>
  </si>
  <si>
    <t>Unidad:</t>
  </si>
  <si>
    <t>UND</t>
  </si>
  <si>
    <t>Partida Nro.:</t>
  </si>
  <si>
    <t>Rendimiento (Und/dia):</t>
  </si>
  <si>
    <t>Cantidad:</t>
  </si>
  <si>
    <t>Descripción de la Partida:</t>
  </si>
  <si>
    <t>1.-MATERIALES</t>
  </si>
  <si>
    <t>Ítem</t>
  </si>
  <si>
    <t>Descripción</t>
  </si>
  <si>
    <t>Unidad</t>
  </si>
  <si>
    <t>Cantidad</t>
  </si>
  <si>
    <t>Desperd.</t>
  </si>
  <si>
    <t>Costo Unitario</t>
  </si>
  <si>
    <t>Total Materiales:</t>
  </si>
  <si>
    <t>Costo Unitario de Materiales:</t>
  </si>
  <si>
    <t>2.EQUIPOS</t>
  </si>
  <si>
    <t>Costo por dia</t>
  </si>
  <si>
    <t>Dep. o Alq.</t>
  </si>
  <si>
    <t>Total Equipos:</t>
  </si>
  <si>
    <t>Costo Unitario de Equipos:</t>
  </si>
  <si>
    <t>3.-LABOR DIRECTA (MANO DE OBRA)</t>
  </si>
  <si>
    <t>Bono</t>
  </si>
  <si>
    <t>Sub-total mano de obra:</t>
  </si>
  <si>
    <t>Sub-total labor(%):</t>
  </si>
  <si>
    <t>Sobre costo de Labor:</t>
  </si>
  <si>
    <t>Total Mano de Obra:</t>
  </si>
  <si>
    <t>Costo Unitario Mano de Obra:</t>
  </si>
  <si>
    <t>HH Totales:</t>
  </si>
  <si>
    <t xml:space="preserve">Duración: </t>
  </si>
  <si>
    <t>Costo Directo por Unidad:</t>
  </si>
  <si>
    <t xml:space="preserve"> Administración y Gastos Gener.:</t>
  </si>
  <si>
    <t>Sub-Total:</t>
  </si>
  <si>
    <t>Utilidad e Impr.:</t>
  </si>
  <si>
    <t>PRECIO UNITARIO $.</t>
  </si>
  <si>
    <t>Costo Total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</si>
</sst>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00"/>
    <numFmt numFmtId="165" formatCode="#,##0.0000"/>
    <numFmt numFmtId="166" formatCode="[$-200A]d&quot; de &quot;mmmm&quot; de &quot;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13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u/>
      <sz val="13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1"/>
      <color theme="0"/>
      <name val="Arial"/>
      <family val="2"/>
    </font>
    <font>
      <sz val="12"/>
      <name val="Arial"/>
      <family val="2"/>
    </font>
    <font>
      <b/>
      <u/>
      <sz val="20"/>
      <name val="Arial"/>
      <family val="2"/>
    </font>
    <font>
      <u/>
      <sz val="2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9" fontId="1" fillId="0" borderId="0" applyFont="0" applyFill="0" applyBorder="0" applyAlignment="0" applyProtection="0"/>
    <xf numFmtId="0" fontId="3" fillId="0" borderId="0"/>
    <xf numFmtId="43" fontId="10" fillId="0" borderId="0"/>
  </cellStyleXfs>
  <cellXfs count="12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3" applyFont="1"/>
    <xf numFmtId="0" fontId="2" fillId="0" borderId="0" xfId="3" applyFont="1" applyAlignment="1">
      <alignment horizontal="right"/>
    </xf>
    <xf numFmtId="0" fontId="4" fillId="0" borderId="0" xfId="0" applyFont="1" applyAlignment="1">
      <alignment horizontal="left" vertical="center"/>
    </xf>
    <xf numFmtId="0" fontId="8" fillId="0" borderId="0" xfId="3" applyFont="1" applyAlignment="1">
      <alignment vertical="center" wrapText="1"/>
    </xf>
    <xf numFmtId="4" fontId="2" fillId="0" borderId="0" xfId="0" applyNumberFormat="1" applyFont="1"/>
    <xf numFmtId="4" fontId="2" fillId="0" borderId="0" xfId="3" applyNumberFormat="1" applyFont="1"/>
    <xf numFmtId="0" fontId="9" fillId="0" borderId="0" xfId="3" applyFont="1"/>
    <xf numFmtId="0" fontId="9" fillId="0" borderId="1" xfId="3" applyFont="1" applyBorder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1" xfId="3" applyNumberFormat="1" applyFont="1" applyBorder="1" applyAlignment="1">
      <alignment horizontal="center"/>
    </xf>
    <xf numFmtId="43" fontId="1" fillId="0" borderId="0" xfId="1"/>
    <xf numFmtId="0" fontId="11" fillId="0" borderId="0" xfId="3" applyFont="1" applyAlignment="1">
      <alignment horizontal="left"/>
    </xf>
    <xf numFmtId="0" fontId="2" fillId="0" borderId="0" xfId="3" applyFont="1" applyAlignment="1">
      <alignment horizontal="center"/>
    </xf>
    <xf numFmtId="0" fontId="9" fillId="0" borderId="0" xfId="3" applyFont="1" applyAlignment="1">
      <alignment horizontal="right"/>
    </xf>
    <xf numFmtId="4" fontId="2" fillId="0" borderId="3" xfId="3" applyNumberFormat="1" applyFont="1" applyBorder="1"/>
    <xf numFmtId="43" fontId="2" fillId="0" borderId="0" xfId="0" applyNumberFormat="1" applyFont="1"/>
    <xf numFmtId="4" fontId="2" fillId="0" borderId="4" xfId="3" applyNumberFormat="1" applyFont="1" applyBorder="1"/>
    <xf numFmtId="43" fontId="2" fillId="0" borderId="0" xfId="4" applyFont="1"/>
    <xf numFmtId="4" fontId="12" fillId="0" borderId="0" xfId="3" applyNumberFormat="1" applyFont="1" applyAlignment="1">
      <alignment horizontal="center"/>
    </xf>
    <xf numFmtId="4" fontId="9" fillId="0" borderId="1" xfId="3" applyNumberFormat="1" applyFont="1" applyBorder="1" applyAlignment="1">
      <alignment horizontal="right"/>
    </xf>
    <xf numFmtId="4" fontId="2" fillId="0" borderId="0" xfId="3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4" fontId="9" fillId="0" borderId="4" xfId="3" applyNumberFormat="1" applyFont="1" applyBorder="1"/>
    <xf numFmtId="2" fontId="2" fillId="0" borderId="0" xfId="4" applyNumberFormat="1" applyFont="1" applyAlignment="1">
      <alignment horizontal="left"/>
    </xf>
    <xf numFmtId="10" fontId="2" fillId="0" borderId="0" xfId="3" applyNumberFormat="1" applyFont="1"/>
    <xf numFmtId="4" fontId="2" fillId="0" borderId="1" xfId="3" applyNumberFormat="1" applyFont="1" applyBorder="1"/>
    <xf numFmtId="9" fontId="2" fillId="0" borderId="0" xfId="3" applyNumberFormat="1" applyFont="1"/>
    <xf numFmtId="0" fontId="2" fillId="0" borderId="0" xfId="3" applyFont="1" applyAlignment="1">
      <alignment wrapText="1"/>
    </xf>
    <xf numFmtId="4" fontId="9" fillId="0" borderId="0" xfId="3" applyNumberFormat="1" applyFont="1"/>
    <xf numFmtId="14" fontId="2" fillId="0" borderId="0" xfId="0" applyNumberFormat="1" applyFont="1"/>
    <xf numFmtId="166" fontId="2" fillId="0" borderId="0" xfId="0" applyNumberFormat="1" applyFont="1"/>
    <xf numFmtId="0" fontId="13" fillId="0" borderId="0" xfId="0" applyFont="1"/>
    <xf numFmtId="0" fontId="7" fillId="0" borderId="0" xfId="3" applyFont="1" applyAlignment="1">
      <alignment horizontal="center" vertical="top"/>
    </xf>
    <xf numFmtId="0" fontId="6" fillId="0" borderId="0" xfId="3" applyFont="1" applyAlignment="1">
      <alignment horizontal="right" vertical="top"/>
    </xf>
    <xf numFmtId="0" fontId="6" fillId="0" borderId="0" xfId="3" applyFont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4" fontId="9" fillId="2" borderId="1" xfId="3" applyNumberFormat="1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164" fontId="9" fillId="2" borderId="1" xfId="3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10" fontId="9" fillId="3" borderId="1" xfId="3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3" applyFont="1" applyBorder="1" applyAlignment="1">
      <alignment horizontal="center"/>
    </xf>
    <xf numFmtId="0" fontId="2" fillId="0" borderId="5" xfId="3" applyFont="1" applyBorder="1" applyAlignment="1">
      <alignment horizontal="left" wrapText="1"/>
    </xf>
    <xf numFmtId="4" fontId="2" fillId="0" borderId="5" xfId="3" applyNumberFormat="1" applyFont="1" applyBorder="1" applyAlignment="1">
      <alignment horizontal="right"/>
    </xf>
    <xf numFmtId="9" fontId="2" fillId="0" borderId="5" xfId="2" applyFont="1" applyBorder="1" applyAlignment="1">
      <alignment horizontal="center"/>
    </xf>
    <xf numFmtId="4" fontId="2" fillId="0" borderId="5" xfId="3" applyNumberFormat="1" applyFont="1" applyBorder="1" applyAlignment="1">
      <alignment horizontal="center"/>
    </xf>
    <xf numFmtId="43" fontId="2" fillId="0" borderId="5" xfId="4" applyFont="1" applyBorder="1" applyAlignment="1">
      <alignment horizontal="left"/>
    </xf>
    <xf numFmtId="0" fontId="2" fillId="0" borderId="6" xfId="3" applyFont="1" applyBorder="1" applyAlignment="1">
      <alignment horizontal="center"/>
    </xf>
    <xf numFmtId="0" fontId="2" fillId="0" borderId="6" xfId="3" applyFont="1" applyBorder="1" applyAlignment="1">
      <alignment horizontal="left" wrapText="1"/>
    </xf>
    <xf numFmtId="4" fontId="2" fillId="0" borderId="6" xfId="3" applyNumberFormat="1" applyFont="1" applyBorder="1" applyAlignment="1">
      <alignment horizontal="right"/>
    </xf>
    <xf numFmtId="9" fontId="2" fillId="0" borderId="6" xfId="2" applyFont="1" applyBorder="1" applyAlignment="1">
      <alignment horizontal="center"/>
    </xf>
    <xf numFmtId="4" fontId="2" fillId="0" borderId="6" xfId="3" applyNumberFormat="1" applyFont="1" applyBorder="1" applyAlignment="1">
      <alignment horizontal="center" vertical="center"/>
    </xf>
    <xf numFmtId="43" fontId="2" fillId="0" borderId="6" xfId="4" applyFont="1" applyBorder="1" applyAlignment="1">
      <alignment horizontal="left"/>
    </xf>
    <xf numFmtId="4" fontId="2" fillId="0" borderId="6" xfId="3" applyNumberFormat="1" applyFont="1" applyBorder="1" applyAlignment="1">
      <alignment horizontal="center"/>
    </xf>
    <xf numFmtId="0" fontId="2" fillId="0" borderId="6" xfId="3" applyFont="1" applyBorder="1" applyAlignment="1">
      <alignment horizontal="right"/>
    </xf>
    <xf numFmtId="9" fontId="2" fillId="0" borderId="6" xfId="2" applyFont="1" applyBorder="1" applyAlignment="1">
      <alignment horizontal="right"/>
    </xf>
    <xf numFmtId="0" fontId="2" fillId="0" borderId="7" xfId="3" applyFont="1" applyBorder="1" applyAlignment="1">
      <alignment horizontal="center"/>
    </xf>
    <xf numFmtId="0" fontId="2" fillId="0" borderId="7" xfId="3" applyFont="1" applyBorder="1" applyAlignment="1">
      <alignment horizontal="left" wrapText="1"/>
    </xf>
    <xf numFmtId="9" fontId="2" fillId="0" borderId="7" xfId="2" applyFont="1" applyBorder="1" applyAlignment="1">
      <alignment horizontal="center"/>
    </xf>
    <xf numFmtId="4" fontId="2" fillId="0" borderId="7" xfId="3" applyNumberFormat="1" applyFont="1" applyBorder="1" applyAlignment="1">
      <alignment horizontal="center"/>
    </xf>
    <xf numFmtId="43" fontId="2" fillId="0" borderId="7" xfId="4" applyFont="1" applyBorder="1" applyAlignment="1">
      <alignment horizontal="left"/>
    </xf>
    <xf numFmtId="43" fontId="2" fillId="0" borderId="5" xfId="1" applyFont="1" applyBorder="1" applyAlignment="1">
      <alignment horizontal="center"/>
    </xf>
    <xf numFmtId="43" fontId="2" fillId="0" borderId="6" xfId="1" applyFont="1" applyBorder="1" applyAlignment="1">
      <alignment horizontal="center"/>
    </xf>
    <xf numFmtId="43" fontId="2" fillId="0" borderId="7" xfId="1" applyFont="1" applyBorder="1" applyAlignment="1">
      <alignment horizontal="center"/>
    </xf>
    <xf numFmtId="2" fontId="2" fillId="0" borderId="5" xfId="3" applyNumberFormat="1" applyFont="1" applyBorder="1"/>
    <xf numFmtId="2" fontId="2" fillId="0" borderId="6" xfId="3" applyNumberFormat="1" applyFont="1" applyBorder="1"/>
    <xf numFmtId="2" fontId="2" fillId="0" borderId="7" xfId="3" applyNumberFormat="1" applyFont="1" applyBorder="1"/>
    <xf numFmtId="4" fontId="2" fillId="0" borderId="7" xfId="3" applyNumberFormat="1" applyFont="1" applyBorder="1" applyAlignment="1">
      <alignment horizontal="right"/>
    </xf>
    <xf numFmtId="0" fontId="9" fillId="0" borderId="0" xfId="3" applyFont="1" applyAlignment="1">
      <alignment vertical="top"/>
    </xf>
    <xf numFmtId="0" fontId="2" fillId="0" borderId="0" xfId="3" applyFont="1" applyAlignment="1">
      <alignment vertical="top"/>
    </xf>
    <xf numFmtId="0" fontId="9" fillId="0" borderId="0" xfId="0" applyFont="1" applyAlignment="1">
      <alignment vertical="top"/>
    </xf>
    <xf numFmtId="0" fontId="6" fillId="3" borderId="0" xfId="3" applyFont="1" applyFill="1"/>
    <xf numFmtId="0" fontId="4" fillId="3" borderId="0" xfId="0" applyFont="1" applyFill="1"/>
    <xf numFmtId="0" fontId="2" fillId="0" borderId="6" xfId="3" applyFont="1" applyBorder="1" applyAlignment="1">
      <alignment horizontal="center" vertical="center"/>
    </xf>
    <xf numFmtId="0" fontId="2" fillId="2" borderId="5" xfId="3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right"/>
    </xf>
    <xf numFmtId="165" fontId="2" fillId="2" borderId="5" xfId="0" applyNumberFormat="1" applyFont="1" applyFill="1" applyBorder="1" applyAlignment="1">
      <alignment horizontal="center"/>
    </xf>
    <xf numFmtId="43" fontId="2" fillId="2" borderId="5" xfId="1" applyFont="1" applyFill="1" applyBorder="1" applyAlignment="1">
      <alignment horizontal="center"/>
    </xf>
    <xf numFmtId="0" fontId="2" fillId="2" borderId="6" xfId="3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center"/>
    </xf>
    <xf numFmtId="43" fontId="2" fillId="2" borderId="6" xfId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/>
    </xf>
    <xf numFmtId="165" fontId="2" fillId="2" borderId="7" xfId="0" applyNumberFormat="1" applyFont="1" applyFill="1" applyBorder="1" applyAlignment="1">
      <alignment horizontal="center"/>
    </xf>
    <xf numFmtId="43" fontId="2" fillId="2" borderId="7" xfId="1" applyFont="1" applyFill="1" applyBorder="1" applyAlignment="1">
      <alignment horizontal="center"/>
    </xf>
    <xf numFmtId="0" fontId="2" fillId="2" borderId="7" xfId="3" applyFont="1" applyFill="1" applyBorder="1" applyAlignment="1">
      <alignment horizontal="center"/>
    </xf>
    <xf numFmtId="9" fontId="2" fillId="3" borderId="0" xfId="3" applyNumberFormat="1" applyFont="1" applyFill="1"/>
    <xf numFmtId="4" fontId="7" fillId="0" borderId="1" xfId="3" applyNumberFormat="1" applyFont="1" applyBorder="1" applyAlignment="1">
      <alignment horizontal="center"/>
    </xf>
    <xf numFmtId="0" fontId="14" fillId="4" borderId="0" xfId="3" applyFont="1" applyFill="1" applyAlignment="1">
      <alignment horizontal="center"/>
    </xf>
    <xf numFmtId="0" fontId="15" fillId="4" borderId="0" xfId="0" applyFont="1" applyFill="1"/>
    <xf numFmtId="0" fontId="16" fillId="3" borderId="0" xfId="3" applyFont="1" applyFill="1" applyAlignment="1">
      <alignment horizontal="center" vertical="center" wrapText="1"/>
    </xf>
    <xf numFmtId="0" fontId="17" fillId="3" borderId="0" xfId="0" applyFont="1" applyFill="1"/>
    <xf numFmtId="0" fontId="9" fillId="0" borderId="1" xfId="3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2" borderId="5" xfId="0" applyFont="1" applyFill="1" applyBorder="1" applyAlignment="1">
      <alignment wrapText="1"/>
    </xf>
    <xf numFmtId="0" fontId="4" fillId="2" borderId="8" xfId="0" applyFont="1" applyFill="1" applyBorder="1"/>
    <xf numFmtId="0" fontId="2" fillId="2" borderId="6" xfId="0" applyFont="1" applyFill="1" applyBorder="1"/>
    <xf numFmtId="0" fontId="4" fillId="2" borderId="9" xfId="0" applyFont="1" applyFill="1" applyBorder="1"/>
    <xf numFmtId="0" fontId="2" fillId="2" borderId="6" xfId="0" applyFont="1" applyFill="1" applyBorder="1" applyAlignment="1">
      <alignment wrapText="1"/>
    </xf>
    <xf numFmtId="2" fontId="2" fillId="0" borderId="7" xfId="3" applyNumberFormat="1" applyFont="1" applyBorder="1"/>
    <xf numFmtId="0" fontId="4" fillId="0" borderId="10" xfId="0" applyFont="1" applyBorder="1"/>
    <xf numFmtId="0" fontId="2" fillId="0" borderId="0" xfId="3" applyFont="1" applyAlignment="1">
      <alignment horizontal="right"/>
    </xf>
    <xf numFmtId="0" fontId="2" fillId="0" borderId="0" xfId="0" applyFont="1"/>
    <xf numFmtId="2" fontId="2" fillId="0" borderId="6" xfId="3" applyNumberFormat="1" applyFont="1" applyBorder="1"/>
    <xf numFmtId="0" fontId="4" fillId="0" borderId="9" xfId="0" applyFont="1" applyBorder="1"/>
    <xf numFmtId="2" fontId="2" fillId="0" borderId="5" xfId="3" applyNumberFormat="1" applyFont="1" applyBorder="1"/>
    <xf numFmtId="0" fontId="4" fillId="0" borderId="8" xfId="0" applyFont="1" applyBorder="1"/>
    <xf numFmtId="2" fontId="2" fillId="0" borderId="6" xfId="3" applyNumberFormat="1" applyFont="1" applyBorder="1" applyAlignment="1">
      <alignment wrapText="1"/>
    </xf>
    <xf numFmtId="2" fontId="2" fillId="0" borderId="6" xfId="3" applyNumberFormat="1" applyFont="1" applyBorder="1" applyAlignment="1">
      <alignment horizontal="left" wrapText="1"/>
    </xf>
    <xf numFmtId="0" fontId="4" fillId="0" borderId="9" xfId="0" applyFont="1" applyBorder="1" applyAlignment="1">
      <alignment horizontal="left"/>
    </xf>
    <xf numFmtId="0" fontId="2" fillId="2" borderId="7" xfId="0" applyFont="1" applyFill="1" applyBorder="1"/>
    <xf numFmtId="0" fontId="4" fillId="2" borderId="10" xfId="0" applyFont="1" applyFill="1" applyBorder="1"/>
  </cellXfs>
  <cellStyles count="5">
    <cellStyle name="Millares" xfId="1" builtinId="3"/>
    <cellStyle name="Millares 12" xfId="4" xr:uid="{D622DC45-93BE-4BE4-9D9E-CCA72BA0EC8A}"/>
    <cellStyle name="Normal" xfId="0" builtinId="0"/>
    <cellStyle name="Normal 2 3" xfId="3" xr:uid="{77BE72DB-BF96-45EC-90F5-C89E36FD4876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39689</xdr:colOff>
      <xdr:row>0</xdr:row>
      <xdr:rowOff>28239</xdr:rowOff>
    </xdr:from>
    <xdr:to>
      <xdr:col>1</xdr:col>
      <xdr:colOff>1417045</xdr:colOff>
      <xdr:row>1</xdr:row>
      <xdr:rowOff>136489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0D8B4580-EBE1-4479-B354-CFBAAC8C61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05" t="12955" r="14531" b="13652"/>
        <a:stretch>
          <a:fillRect/>
        </a:stretch>
      </xdr:blipFill>
      <xdr:spPr bwMode="auto">
        <a:xfrm>
          <a:off x="39689" y="28239"/>
          <a:ext cx="2242544" cy="6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ABA4-1012-4C49-97D2-3E001DD02C17}">
  <dimension ref="A1:L62"/>
  <sheetViews>
    <sheetView showGridLines="0" tabSelected="1" view="pageBreakPreview" zoomScale="85" zoomScaleNormal="100" zoomScaleSheetLayoutView="85" workbookViewId="0">
      <selection activeCell="G7" sqref="G7"/>
    </sheetView>
  </sheetViews>
  <sheetFormatPr baseColWidth="10" defaultColWidth="11.453125" defaultRowHeight="14" x14ac:dyDescent="0.3"/>
  <cols>
    <col min="1" max="1" width="12.36328125" style="1" customWidth="1"/>
    <col min="2" max="2" width="36.90625" style="1" customWidth="1"/>
    <col min="3" max="3" width="15.26953125" style="1" customWidth="1"/>
    <col min="4" max="4" width="12.1796875" style="1" customWidth="1"/>
    <col min="5" max="6" width="15.1796875" style="1" customWidth="1"/>
    <col min="7" max="7" width="16.1796875" style="1" customWidth="1"/>
    <col min="8" max="8" width="3.54296875" style="1" customWidth="1"/>
    <col min="9" max="9" width="12.1796875" style="1" hidden="1" customWidth="1"/>
    <col min="10" max="11" width="12.1796875" style="1" customWidth="1"/>
    <col min="12" max="12" width="11.453125" style="1" customWidth="1"/>
    <col min="13" max="16384" width="11.453125" style="1"/>
  </cols>
  <sheetData>
    <row r="1" spans="1:12" ht="42.5" customHeight="1" x14ac:dyDescent="0.3">
      <c r="F1" s="38" t="s">
        <v>7</v>
      </c>
      <c r="G1" s="37">
        <v>1</v>
      </c>
    </row>
    <row r="3" spans="1:12" s="46" customFormat="1" x14ac:dyDescent="0.35">
      <c r="A3" s="46" t="s">
        <v>0</v>
      </c>
      <c r="B3" s="46" t="s">
        <v>1</v>
      </c>
    </row>
    <row r="4" spans="1:12" s="46" customFormat="1" ht="21.5" customHeight="1" x14ac:dyDescent="0.35">
      <c r="A4" s="46" t="s">
        <v>2</v>
      </c>
      <c r="B4" s="46" t="s">
        <v>3</v>
      </c>
    </row>
    <row r="5" spans="1:12" s="2" customFormat="1" ht="26" x14ac:dyDescent="0.6">
      <c r="A5" s="98" t="s">
        <v>4</v>
      </c>
      <c r="B5" s="99"/>
      <c r="C5" s="99"/>
      <c r="D5" s="99"/>
      <c r="E5" s="99"/>
      <c r="F5" s="99"/>
      <c r="G5" s="99"/>
      <c r="L5" s="3"/>
    </row>
    <row r="6" spans="1:12" s="2" customFormat="1" ht="35.5" customHeight="1" x14ac:dyDescent="0.35">
      <c r="C6" s="7"/>
      <c r="D6" s="7"/>
      <c r="E6" s="40" t="s">
        <v>9</v>
      </c>
      <c r="F6" s="40" t="s">
        <v>5</v>
      </c>
      <c r="G6" s="39" t="s">
        <v>8</v>
      </c>
      <c r="J6" s="1"/>
      <c r="L6" s="6"/>
    </row>
    <row r="7" spans="1:12" s="2" customFormat="1" ht="14.5" x14ac:dyDescent="0.35">
      <c r="A7" s="77" t="s">
        <v>10</v>
      </c>
      <c r="B7" s="78"/>
      <c r="C7" s="78"/>
      <c r="D7" s="78"/>
      <c r="E7" s="41">
        <v>1200</v>
      </c>
      <c r="F7" s="42" t="s">
        <v>6</v>
      </c>
      <c r="G7" s="43">
        <v>16</v>
      </c>
      <c r="L7" s="6"/>
    </row>
    <row r="8" spans="1:12" s="2" customFormat="1" ht="44.5" customHeight="1" x14ac:dyDescent="0.35">
      <c r="A8" s="100"/>
      <c r="B8" s="101"/>
      <c r="C8" s="101"/>
      <c r="D8" s="101"/>
      <c r="E8" s="101"/>
      <c r="F8" s="101"/>
      <c r="G8" s="101"/>
    </row>
    <row r="9" spans="1:12" ht="7" customHeight="1" x14ac:dyDescent="0.3">
      <c r="A9" s="4"/>
      <c r="B9" s="4"/>
      <c r="C9" s="4"/>
      <c r="D9" s="4"/>
      <c r="E9" s="4"/>
      <c r="F9" s="9"/>
      <c r="G9" s="9"/>
      <c r="H9" s="8"/>
      <c r="J9" s="8"/>
      <c r="K9" s="8"/>
    </row>
    <row r="10" spans="1:12" s="44" customFormat="1" ht="18.5" customHeight="1" x14ac:dyDescent="0.35">
      <c r="A10" s="74" t="s">
        <v>11</v>
      </c>
      <c r="B10" s="75"/>
      <c r="C10" s="75"/>
      <c r="D10" s="75"/>
      <c r="E10" s="75"/>
      <c r="F10" s="75"/>
      <c r="G10" s="75"/>
      <c r="J10" s="76"/>
    </row>
    <row r="11" spans="1:12" s="12" customFormat="1" x14ac:dyDescent="0.3">
      <c r="A11" s="11" t="s">
        <v>12</v>
      </c>
      <c r="B11" s="11" t="s">
        <v>13</v>
      </c>
      <c r="C11" s="11" t="s">
        <v>14</v>
      </c>
      <c r="D11" s="11" t="s">
        <v>15</v>
      </c>
      <c r="E11" s="11" t="s">
        <v>16</v>
      </c>
      <c r="F11" s="11" t="s">
        <v>17</v>
      </c>
      <c r="G11" s="11" t="s">
        <v>39</v>
      </c>
      <c r="K11" s="13"/>
    </row>
    <row r="12" spans="1:12" s="2" customFormat="1" ht="14.5" x14ac:dyDescent="0.35">
      <c r="A12" s="47">
        <v>1</v>
      </c>
      <c r="B12" s="48"/>
      <c r="C12" s="47"/>
      <c r="D12" s="49"/>
      <c r="E12" s="50"/>
      <c r="F12" s="51"/>
      <c r="G12" s="52">
        <f>+D12*F12*(1+E12)</f>
        <v>0</v>
      </c>
      <c r="I12" s="15">
        <f>+G12*$E$7</f>
        <v>0</v>
      </c>
    </row>
    <row r="13" spans="1:12" s="2" customFormat="1" ht="14.5" x14ac:dyDescent="0.35">
      <c r="A13" s="53">
        <v>2</v>
      </c>
      <c r="B13" s="54"/>
      <c r="C13" s="79"/>
      <c r="D13" s="55"/>
      <c r="E13" s="56"/>
      <c r="F13" s="57"/>
      <c r="G13" s="58">
        <f t="shared" ref="G13:G20" si="0">+D13*F13*(1+E13)</f>
        <v>0</v>
      </c>
      <c r="I13" s="15">
        <f>+G13*$E$7</f>
        <v>0</v>
      </c>
    </row>
    <row r="14" spans="1:12" s="2" customFormat="1" ht="14.5" x14ac:dyDescent="0.35">
      <c r="A14" s="53">
        <v>3</v>
      </c>
      <c r="B14" s="54"/>
      <c r="C14" s="79"/>
      <c r="D14" s="55"/>
      <c r="E14" s="56"/>
      <c r="F14" s="57"/>
      <c r="G14" s="58">
        <f t="shared" si="0"/>
        <v>0</v>
      </c>
      <c r="I14" s="15">
        <f>+G14*$E$7</f>
        <v>0</v>
      </c>
    </row>
    <row r="15" spans="1:12" s="2" customFormat="1" ht="14.5" x14ac:dyDescent="0.35">
      <c r="A15" s="53">
        <v>4</v>
      </c>
      <c r="B15" s="54"/>
      <c r="C15" s="53"/>
      <c r="D15" s="55"/>
      <c r="E15" s="56"/>
      <c r="F15" s="59"/>
      <c r="G15" s="58">
        <f t="shared" si="0"/>
        <v>0</v>
      </c>
      <c r="I15" s="15">
        <f>+G15*$E$7</f>
        <v>0</v>
      </c>
    </row>
    <row r="16" spans="1:12" s="2" customFormat="1" ht="14.5" x14ac:dyDescent="0.35">
      <c r="A16" s="53">
        <v>5</v>
      </c>
      <c r="B16" s="54"/>
      <c r="C16" s="53"/>
      <c r="D16" s="55"/>
      <c r="E16" s="56"/>
      <c r="F16" s="59"/>
      <c r="G16" s="58">
        <f t="shared" si="0"/>
        <v>0</v>
      </c>
      <c r="I16" s="1"/>
    </row>
    <row r="17" spans="1:11" s="2" customFormat="1" ht="14.5" x14ac:dyDescent="0.35">
      <c r="A17" s="53">
        <v>6</v>
      </c>
      <c r="B17" s="54"/>
      <c r="C17" s="53"/>
      <c r="D17" s="55"/>
      <c r="E17" s="56"/>
      <c r="F17" s="59"/>
      <c r="G17" s="58">
        <f t="shared" si="0"/>
        <v>0</v>
      </c>
      <c r="I17" s="1"/>
    </row>
    <row r="18" spans="1:11" s="2" customFormat="1" ht="14.5" x14ac:dyDescent="0.35">
      <c r="A18" s="53">
        <v>7</v>
      </c>
      <c r="B18" s="54"/>
      <c r="C18" s="53"/>
      <c r="D18" s="55"/>
      <c r="E18" s="56"/>
      <c r="F18" s="59"/>
      <c r="G18" s="58">
        <f t="shared" si="0"/>
        <v>0</v>
      </c>
      <c r="I18" s="1"/>
    </row>
    <row r="19" spans="1:11" s="2" customFormat="1" ht="14.5" x14ac:dyDescent="0.35">
      <c r="A19" s="53">
        <v>8</v>
      </c>
      <c r="B19" s="54"/>
      <c r="C19" s="53"/>
      <c r="D19" s="60"/>
      <c r="E19" s="61"/>
      <c r="F19" s="59"/>
      <c r="G19" s="58">
        <f t="shared" si="0"/>
        <v>0</v>
      </c>
      <c r="I19" s="1"/>
    </row>
    <row r="20" spans="1:11" s="2" customFormat="1" ht="14.5" x14ac:dyDescent="0.35">
      <c r="A20" s="62">
        <v>9</v>
      </c>
      <c r="B20" s="63"/>
      <c r="C20" s="62"/>
      <c r="D20" s="62"/>
      <c r="E20" s="64"/>
      <c r="F20" s="65"/>
      <c r="G20" s="66">
        <f t="shared" si="0"/>
        <v>0</v>
      </c>
    </row>
    <row r="21" spans="1:11" s="2" customFormat="1" ht="15" thickBot="1" x14ac:dyDescent="0.4">
      <c r="A21" s="4"/>
      <c r="B21" s="16"/>
      <c r="C21" s="16"/>
      <c r="D21" s="17"/>
      <c r="E21" s="10"/>
      <c r="F21" s="18" t="s">
        <v>18</v>
      </c>
      <c r="G21" s="19">
        <f>+SUM(G12:G20)</f>
        <v>0</v>
      </c>
      <c r="I21" s="20">
        <f>SUM(I12:I20)</f>
        <v>0</v>
      </c>
    </row>
    <row r="22" spans="1:11" ht="14.5" thickBot="1" x14ac:dyDescent="0.35">
      <c r="A22" s="4"/>
      <c r="B22" s="4"/>
      <c r="C22" s="4"/>
      <c r="D22" s="4"/>
      <c r="E22" s="10"/>
      <c r="F22" s="18" t="s">
        <v>19</v>
      </c>
      <c r="G22" s="21">
        <f>+G21</f>
        <v>0</v>
      </c>
      <c r="K22" s="22"/>
    </row>
    <row r="23" spans="1:11" s="44" customFormat="1" ht="18.5" customHeight="1" x14ac:dyDescent="0.35">
      <c r="A23" s="74" t="s">
        <v>20</v>
      </c>
      <c r="B23" s="75"/>
      <c r="C23" s="75"/>
      <c r="D23" s="75"/>
      <c r="E23" s="75"/>
      <c r="F23" s="75"/>
      <c r="G23" s="75"/>
    </row>
    <row r="24" spans="1:11" s="12" customFormat="1" ht="14.5" x14ac:dyDescent="0.35">
      <c r="A24" s="11" t="s">
        <v>12</v>
      </c>
      <c r="B24" s="102" t="s">
        <v>13</v>
      </c>
      <c r="C24" s="103"/>
      <c r="D24" s="11" t="s">
        <v>15</v>
      </c>
      <c r="E24" s="11" t="s">
        <v>21</v>
      </c>
      <c r="F24" s="11" t="s">
        <v>22</v>
      </c>
      <c r="G24" s="11" t="s">
        <v>39</v>
      </c>
    </row>
    <row r="25" spans="1:11" s="2" customFormat="1" ht="14.5" x14ac:dyDescent="0.35">
      <c r="A25" s="80">
        <v>1</v>
      </c>
      <c r="B25" s="104"/>
      <c r="C25" s="105"/>
      <c r="D25" s="81"/>
      <c r="E25" s="82"/>
      <c r="F25" s="83"/>
      <c r="G25" s="84">
        <f t="shared" ref="G25:G33" si="1">+D25*E25*F25</f>
        <v>0</v>
      </c>
      <c r="I25" s="15">
        <f>+G25*$E$7/$G$7</f>
        <v>0</v>
      </c>
    </row>
    <row r="26" spans="1:11" s="2" customFormat="1" ht="14.5" x14ac:dyDescent="0.35">
      <c r="A26" s="85">
        <v>2</v>
      </c>
      <c r="B26" s="106"/>
      <c r="C26" s="107"/>
      <c r="D26" s="86"/>
      <c r="E26" s="87"/>
      <c r="F26" s="88"/>
      <c r="G26" s="89">
        <f t="shared" si="1"/>
        <v>0</v>
      </c>
      <c r="I26" s="15">
        <f>+G26*$E$7/$G$7</f>
        <v>0</v>
      </c>
    </row>
    <row r="27" spans="1:11" s="2" customFormat="1" ht="14.5" x14ac:dyDescent="0.35">
      <c r="A27" s="85">
        <v>3</v>
      </c>
      <c r="B27" s="108"/>
      <c r="C27" s="107"/>
      <c r="D27" s="86"/>
      <c r="E27" s="87"/>
      <c r="F27" s="88"/>
      <c r="G27" s="89">
        <f t="shared" si="1"/>
        <v>0</v>
      </c>
      <c r="I27" s="15">
        <f>+G27*$E$7/$G$7</f>
        <v>0</v>
      </c>
    </row>
    <row r="28" spans="1:11" s="2" customFormat="1" ht="14.5" x14ac:dyDescent="0.35">
      <c r="A28" s="85">
        <v>4</v>
      </c>
      <c r="B28" s="106"/>
      <c r="C28" s="107"/>
      <c r="D28" s="86"/>
      <c r="E28" s="87"/>
      <c r="F28" s="88"/>
      <c r="G28" s="89">
        <f t="shared" si="1"/>
        <v>0</v>
      </c>
      <c r="I28" s="15">
        <f>+G28*$E$7/$G$7</f>
        <v>0</v>
      </c>
    </row>
    <row r="29" spans="1:11" s="2" customFormat="1" ht="14.5" x14ac:dyDescent="0.35">
      <c r="A29" s="85">
        <v>5</v>
      </c>
      <c r="B29" s="108"/>
      <c r="C29" s="107"/>
      <c r="D29" s="86"/>
      <c r="E29" s="90"/>
      <c r="F29" s="88"/>
      <c r="G29" s="89">
        <f t="shared" si="1"/>
        <v>0</v>
      </c>
    </row>
    <row r="30" spans="1:11" s="2" customFormat="1" ht="14.5" x14ac:dyDescent="0.35">
      <c r="A30" s="85">
        <v>6</v>
      </c>
      <c r="B30" s="106"/>
      <c r="C30" s="107"/>
      <c r="D30" s="86"/>
      <c r="E30" s="90"/>
      <c r="F30" s="88"/>
      <c r="G30" s="89">
        <f t="shared" si="1"/>
        <v>0</v>
      </c>
    </row>
    <row r="31" spans="1:11" s="2" customFormat="1" ht="14.5" x14ac:dyDescent="0.35">
      <c r="A31" s="85">
        <v>7</v>
      </c>
      <c r="B31" s="106"/>
      <c r="C31" s="107"/>
      <c r="D31" s="86"/>
      <c r="E31" s="90"/>
      <c r="F31" s="88"/>
      <c r="G31" s="89">
        <f t="shared" si="1"/>
        <v>0</v>
      </c>
    </row>
    <row r="32" spans="1:11" s="2" customFormat="1" ht="14.5" x14ac:dyDescent="0.35">
      <c r="A32" s="85">
        <v>8</v>
      </c>
      <c r="B32" s="106"/>
      <c r="C32" s="107"/>
      <c r="D32" s="86"/>
      <c r="E32" s="90"/>
      <c r="F32" s="88"/>
      <c r="G32" s="89">
        <f t="shared" si="1"/>
        <v>0</v>
      </c>
    </row>
    <row r="33" spans="1:7" s="2" customFormat="1" ht="14.5" x14ac:dyDescent="0.35">
      <c r="A33" s="95">
        <v>9</v>
      </c>
      <c r="B33" s="120"/>
      <c r="C33" s="121"/>
      <c r="D33" s="91"/>
      <c r="E33" s="92"/>
      <c r="F33" s="93"/>
      <c r="G33" s="94">
        <f t="shared" si="1"/>
        <v>0</v>
      </c>
    </row>
    <row r="34" spans="1:7" ht="14.5" thickBot="1" x14ac:dyDescent="0.35">
      <c r="A34" s="4"/>
      <c r="B34" s="4"/>
      <c r="C34" s="4"/>
      <c r="D34" s="4"/>
      <c r="E34" s="4"/>
      <c r="F34" s="18" t="s">
        <v>23</v>
      </c>
      <c r="G34" s="19">
        <f>SUM(G25:G33)</f>
        <v>0</v>
      </c>
    </row>
    <row r="35" spans="1:7" ht="14.5" thickBot="1" x14ac:dyDescent="0.35">
      <c r="A35" s="4"/>
      <c r="B35" s="4"/>
      <c r="C35" s="4"/>
      <c r="D35" s="4"/>
      <c r="E35" s="4"/>
      <c r="F35" s="18" t="s">
        <v>24</v>
      </c>
      <c r="G35" s="21">
        <f>(G34/$G$7)</f>
        <v>0</v>
      </c>
    </row>
    <row r="36" spans="1:7" s="44" customFormat="1" ht="18.5" customHeight="1" x14ac:dyDescent="0.35">
      <c r="A36" s="74" t="s">
        <v>25</v>
      </c>
      <c r="B36" s="74"/>
      <c r="C36" s="75"/>
      <c r="D36" s="75"/>
      <c r="E36" s="75"/>
      <c r="F36" s="75"/>
      <c r="G36" s="75"/>
    </row>
    <row r="37" spans="1:7" s="12" customFormat="1" ht="14.5" x14ac:dyDescent="0.35">
      <c r="A37" s="11" t="s">
        <v>12</v>
      </c>
      <c r="B37" s="102" t="s">
        <v>13</v>
      </c>
      <c r="C37" s="103"/>
      <c r="D37" s="11" t="s">
        <v>15</v>
      </c>
      <c r="E37" s="11" t="s">
        <v>21</v>
      </c>
      <c r="F37" s="11" t="s">
        <v>26</v>
      </c>
      <c r="G37" s="11" t="s">
        <v>39</v>
      </c>
    </row>
    <row r="38" spans="1:7" ht="14.5" x14ac:dyDescent="0.35">
      <c r="A38" s="47">
        <v>1</v>
      </c>
      <c r="B38" s="115"/>
      <c r="C38" s="116"/>
      <c r="D38" s="70"/>
      <c r="E38" s="49"/>
      <c r="F38" s="51"/>
      <c r="G38" s="67">
        <f t="shared" ref="G38:G46" si="2">ROUND(+E38*D38,2)</f>
        <v>0</v>
      </c>
    </row>
    <row r="39" spans="1:7" ht="14.5" x14ac:dyDescent="0.35">
      <c r="A39" s="53">
        <v>2</v>
      </c>
      <c r="B39" s="113"/>
      <c r="C39" s="114"/>
      <c r="D39" s="71"/>
      <c r="E39" s="55"/>
      <c r="F39" s="59"/>
      <c r="G39" s="68">
        <f t="shared" si="2"/>
        <v>0</v>
      </c>
    </row>
    <row r="40" spans="1:7" s="2" customFormat="1" ht="14.5" x14ac:dyDescent="0.35">
      <c r="A40" s="53">
        <v>3</v>
      </c>
      <c r="B40" s="117"/>
      <c r="C40" s="114"/>
      <c r="D40" s="71"/>
      <c r="E40" s="55"/>
      <c r="F40" s="59"/>
      <c r="G40" s="68">
        <f t="shared" si="2"/>
        <v>0</v>
      </c>
    </row>
    <row r="41" spans="1:7" s="2" customFormat="1" ht="14.5" x14ac:dyDescent="0.35">
      <c r="A41" s="53">
        <v>4</v>
      </c>
      <c r="B41" s="118"/>
      <c r="C41" s="119"/>
      <c r="D41" s="71"/>
      <c r="E41" s="55"/>
      <c r="F41" s="59"/>
      <c r="G41" s="68">
        <f t="shared" si="2"/>
        <v>0</v>
      </c>
    </row>
    <row r="42" spans="1:7" ht="14.5" x14ac:dyDescent="0.35">
      <c r="A42" s="53">
        <v>5</v>
      </c>
      <c r="B42" s="113"/>
      <c r="C42" s="114"/>
      <c r="D42" s="71"/>
      <c r="E42" s="55"/>
      <c r="F42" s="59"/>
      <c r="G42" s="68">
        <f t="shared" si="2"/>
        <v>0</v>
      </c>
    </row>
    <row r="43" spans="1:7" ht="14.5" x14ac:dyDescent="0.35">
      <c r="A43" s="53">
        <v>6</v>
      </c>
      <c r="B43" s="113"/>
      <c r="C43" s="114"/>
      <c r="D43" s="71"/>
      <c r="E43" s="55"/>
      <c r="F43" s="59"/>
      <c r="G43" s="68">
        <f t="shared" si="2"/>
        <v>0</v>
      </c>
    </row>
    <row r="44" spans="1:7" ht="14.5" x14ac:dyDescent="0.35">
      <c r="A44" s="53">
        <v>7</v>
      </c>
      <c r="B44" s="113"/>
      <c r="C44" s="114"/>
      <c r="D44" s="71"/>
      <c r="E44" s="55"/>
      <c r="F44" s="59"/>
      <c r="G44" s="68">
        <f t="shared" si="2"/>
        <v>0</v>
      </c>
    </row>
    <row r="45" spans="1:7" ht="14.5" x14ac:dyDescent="0.35">
      <c r="A45" s="53">
        <v>8</v>
      </c>
      <c r="B45" s="113"/>
      <c r="C45" s="114"/>
      <c r="D45" s="71"/>
      <c r="E45" s="55"/>
      <c r="F45" s="59"/>
      <c r="G45" s="68">
        <f t="shared" si="2"/>
        <v>0</v>
      </c>
    </row>
    <row r="46" spans="1:7" ht="14.5" x14ac:dyDescent="0.35">
      <c r="A46" s="62">
        <v>9</v>
      </c>
      <c r="B46" s="109"/>
      <c r="C46" s="110"/>
      <c r="D46" s="72"/>
      <c r="E46" s="73"/>
      <c r="F46" s="65"/>
      <c r="G46" s="69">
        <f t="shared" si="2"/>
        <v>0</v>
      </c>
    </row>
    <row r="47" spans="1:7" x14ac:dyDescent="0.3">
      <c r="B47" s="4"/>
      <c r="C47" s="4"/>
      <c r="D47" s="23">
        <f>SUM(D38:D46)</f>
        <v>0</v>
      </c>
      <c r="E47" s="111" t="s">
        <v>27</v>
      </c>
      <c r="F47" s="112"/>
      <c r="G47" s="24">
        <f>+SUM(G38:G46)</f>
        <v>0</v>
      </c>
    </row>
    <row r="48" spans="1:7" x14ac:dyDescent="0.3">
      <c r="B48" s="4"/>
      <c r="C48" s="4"/>
      <c r="D48" s="25"/>
      <c r="E48" s="5"/>
      <c r="F48" s="5" t="s">
        <v>28</v>
      </c>
      <c r="G48" s="45">
        <v>0</v>
      </c>
    </row>
    <row r="49" spans="1:9" x14ac:dyDescent="0.3">
      <c r="B49" s="4"/>
      <c r="C49" s="4"/>
      <c r="D49" s="4"/>
      <c r="E49" s="111" t="s">
        <v>29</v>
      </c>
      <c r="F49" s="112"/>
      <c r="G49" s="14">
        <f>+G47*G48</f>
        <v>0</v>
      </c>
    </row>
    <row r="50" spans="1:9" ht="14.5" thickBot="1" x14ac:dyDescent="0.35">
      <c r="A50" s="4"/>
      <c r="B50" s="4"/>
      <c r="C50" s="4"/>
      <c r="D50" s="4"/>
      <c r="E50" s="4"/>
      <c r="F50" s="5" t="s">
        <v>30</v>
      </c>
      <c r="G50" s="19">
        <f>+G47+G49</f>
        <v>0</v>
      </c>
    </row>
    <row r="51" spans="1:9" ht="14.5" thickBot="1" x14ac:dyDescent="0.35">
      <c r="B51" s="26"/>
      <c r="C51" s="4"/>
      <c r="D51" s="4"/>
      <c r="E51" s="4"/>
      <c r="F51" s="18" t="s">
        <v>31</v>
      </c>
      <c r="G51" s="27">
        <f>+G50/$G$7</f>
        <v>0</v>
      </c>
    </row>
    <row r="52" spans="1:9" x14ac:dyDescent="0.3">
      <c r="A52" s="1" t="s">
        <v>32</v>
      </c>
      <c r="B52" s="28">
        <f>+B53*SUM(D38:D46)*8</f>
        <v>0</v>
      </c>
      <c r="C52" s="4"/>
      <c r="D52" s="29"/>
    </row>
    <row r="53" spans="1:9" x14ac:dyDescent="0.3">
      <c r="A53" s="1" t="s">
        <v>33</v>
      </c>
      <c r="B53" s="28">
        <f>+E7/G7</f>
        <v>75</v>
      </c>
      <c r="C53" s="4"/>
      <c r="D53" s="4"/>
      <c r="E53" s="4"/>
      <c r="F53" s="18" t="s">
        <v>34</v>
      </c>
      <c r="G53" s="30">
        <f>+G51+G35+G22</f>
        <v>0</v>
      </c>
    </row>
    <row r="54" spans="1:9" x14ac:dyDescent="0.3">
      <c r="A54" s="4"/>
      <c r="B54" s="4"/>
      <c r="C54" s="29"/>
      <c r="D54" s="96">
        <v>0.16</v>
      </c>
      <c r="E54" s="32"/>
      <c r="F54" s="5" t="s">
        <v>35</v>
      </c>
      <c r="G54" s="30">
        <f>+G53*D54</f>
        <v>0</v>
      </c>
    </row>
    <row r="55" spans="1:9" x14ac:dyDescent="0.3">
      <c r="A55" s="4"/>
      <c r="B55" s="4"/>
      <c r="C55" s="4"/>
      <c r="D55" s="4"/>
      <c r="E55" s="4"/>
      <c r="F55" s="5" t="s">
        <v>36</v>
      </c>
      <c r="G55" s="30">
        <f>+G53+G54</f>
        <v>0</v>
      </c>
    </row>
    <row r="56" spans="1:9" x14ac:dyDescent="0.3">
      <c r="A56" s="4"/>
      <c r="B56" s="4"/>
      <c r="C56" s="4"/>
      <c r="D56" s="31"/>
      <c r="E56" s="96">
        <v>0.1</v>
      </c>
      <c r="F56" s="5" t="s">
        <v>37</v>
      </c>
      <c r="G56" s="30">
        <f>+G55*E56</f>
        <v>0</v>
      </c>
    </row>
    <row r="57" spans="1:9" x14ac:dyDescent="0.3">
      <c r="A57" s="4"/>
      <c r="B57" s="4"/>
      <c r="C57" s="4"/>
      <c r="D57" s="31"/>
      <c r="E57" s="4"/>
      <c r="F57" s="5" t="s">
        <v>36</v>
      </c>
      <c r="G57" s="30">
        <f>+G55+G56</f>
        <v>0</v>
      </c>
    </row>
    <row r="58" spans="1:9" ht="15.5" x14ac:dyDescent="0.35">
      <c r="A58" s="4"/>
      <c r="B58" s="4"/>
      <c r="C58" s="4"/>
      <c r="D58" s="4"/>
      <c r="E58" s="4"/>
      <c r="F58" s="18" t="s">
        <v>38</v>
      </c>
      <c r="G58" s="97">
        <f>+G57</f>
        <v>0</v>
      </c>
      <c r="I58" s="22"/>
    </row>
    <row r="59" spans="1:9" x14ac:dyDescent="0.3">
      <c r="A59" s="4"/>
      <c r="B59" s="4"/>
      <c r="C59" s="4"/>
      <c r="D59" s="4"/>
      <c r="E59" s="4"/>
      <c r="F59" s="18"/>
      <c r="G59" s="33"/>
    </row>
    <row r="61" spans="1:9" x14ac:dyDescent="0.3">
      <c r="A61" s="34"/>
      <c r="B61" s="35"/>
      <c r="C61" s="35"/>
      <c r="D61" s="35"/>
    </row>
    <row r="62" spans="1:9" s="2" customFormat="1" ht="15.5" x14ac:dyDescent="0.35">
      <c r="A62" s="36"/>
      <c r="B62" s="36"/>
      <c r="C62" s="36"/>
      <c r="D62" s="36"/>
      <c r="E62" s="36"/>
      <c r="F62" s="36"/>
      <c r="G62" s="36"/>
    </row>
  </sheetData>
  <mergeCells count="24">
    <mergeCell ref="B46:C46"/>
    <mergeCell ref="E47:F47"/>
    <mergeCell ref="E49:F49"/>
    <mergeCell ref="B31:C31"/>
    <mergeCell ref="B43:C43"/>
    <mergeCell ref="B44:C44"/>
    <mergeCell ref="B45:C45"/>
    <mergeCell ref="B37:C37"/>
    <mergeCell ref="B38:C38"/>
    <mergeCell ref="B39:C39"/>
    <mergeCell ref="B40:C40"/>
    <mergeCell ref="B41:C41"/>
    <mergeCell ref="B42:C42"/>
    <mergeCell ref="B33:C33"/>
    <mergeCell ref="B27:C27"/>
    <mergeCell ref="B28:C28"/>
    <mergeCell ref="B29:C29"/>
    <mergeCell ref="B30:C30"/>
    <mergeCell ref="B32:C32"/>
    <mergeCell ref="A5:G5"/>
    <mergeCell ref="A8:G8"/>
    <mergeCell ref="B24:C24"/>
    <mergeCell ref="B25:C25"/>
    <mergeCell ref="B26:C26"/>
  </mergeCells>
  <dataValidations disablePrompts="1" count="1">
    <dataValidation type="list" allowBlank="1" showInputMessage="1" showErrorMessage="1" sqref="B21:C21" xr:uid="{6EB91A35-4614-404B-9945-0AE98BE590B6}">
      <formula1>materiales</formula1>
    </dataValidation>
  </dataValidations>
  <printOptions horizontalCentered="1"/>
  <pageMargins left="0.39370078740157483" right="0.31496062992125984" top="0.39370078740157483" bottom="0.39370078740157483" header="0.31496062992125984" footer="0.31496062992125984"/>
  <pageSetup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APU_FORMATO</vt:lpstr>
      <vt:lpstr>APU_FORMATO!Área_de_impresión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Zenildhe Salazar</dc:creator>
  <cp:lastModifiedBy>Zenildhe Salazar</cp:lastModifiedBy>
  <cp:lastPrinted>2026-05-08T20:04:19Z</cp:lastPrinted>
  <dcterms:created xsi:type="dcterms:W3CDTF">2026-05-08T19:51:21Z</dcterms:created>
  <dcterms:modified xsi:type="dcterms:W3CDTF">2026-05-11T18:19:04Z</dcterms:modified>
</cp:coreProperties>
</file>